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eugenio_rossi_uni_lu/Documents/TripleH/WP2 - Data/SDM/"/>
    </mc:Choice>
  </mc:AlternateContent>
  <xr:revisionPtr revIDLastSave="0" documentId="8_{01B38BBE-7019-694F-BD03-AE4A8D727FA8}" xr6:coauthVersionLast="47" xr6:coauthVersionMax="47" xr10:uidLastSave="{00000000-0000-0000-0000-000000000000}"/>
  <bookViews>
    <workbookView xWindow="3260" yWindow="2260" windowWidth="28040" windowHeight="17180" xr2:uid="{D0961910-04EF-6A47-876D-419AF2BC54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3" i="1"/>
  <c r="K3" i="1" s="1"/>
  <c r="G4" i="1"/>
  <c r="G5" i="1"/>
  <c r="G6" i="1"/>
  <c r="G7" i="1"/>
  <c r="G3" i="1"/>
  <c r="J3" i="1" s="1"/>
  <c r="F9" i="1"/>
  <c r="E9" i="1"/>
  <c r="H20" i="1"/>
  <c r="H25" i="1"/>
  <c r="H26" i="1"/>
  <c r="H17" i="1"/>
  <c r="G18" i="1"/>
  <c r="G19" i="1"/>
  <c r="F28" i="1"/>
  <c r="H22" i="1" s="1"/>
  <c r="E28" i="1"/>
  <c r="G20" i="1" s="1"/>
  <c r="H23" i="1" l="1"/>
  <c r="G26" i="1"/>
  <c r="G23" i="1"/>
  <c r="H19" i="1"/>
  <c r="G22" i="1"/>
  <c r="H18" i="1"/>
  <c r="K17" i="1" s="1"/>
  <c r="H24" i="1"/>
  <c r="G25" i="1"/>
  <c r="H21" i="1"/>
  <c r="G24" i="1"/>
  <c r="G21" i="1"/>
  <c r="G17" i="1"/>
  <c r="J17" i="1" s="1"/>
</calcChain>
</file>

<file path=xl/sharedStrings.xml><?xml version="1.0" encoding="utf-8"?>
<sst xmlns="http://schemas.openxmlformats.org/spreadsheetml/2006/main" count="18" uniqueCount="9">
  <si>
    <t>train_0</t>
  </si>
  <si>
    <t>train_1</t>
  </si>
  <si>
    <t>test_0</t>
  </si>
  <si>
    <t>test_1</t>
  </si>
  <si>
    <t>sd_0</t>
  </si>
  <si>
    <t>sd_1</t>
  </si>
  <si>
    <t>sum_sd_0</t>
  </si>
  <si>
    <t>sum_sd_1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</si>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</sst>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6718-3A72-EE40-9E83-9F44DB3696D9}">
  <dimension ref="B2:K28"/>
  <sheetViews>
    <sheetView tabSelected="1" workbookViewId="0">
      <selection activeCell="J28" sqref="J28"/>
    </sheetView>
  </sheetViews>
  <sheetFormatPr baseColWidth="10" defaultRowHeight="16" x14ac:dyDescent="0.2"/>
  <sheetData>
    <row r="2" spans="2:11" x14ac:dyDescent="0.2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J2" t="s">
        <v>6</v>
      </c>
      <c r="K2" t="s">
        <v>7</v>
      </c>
    </row>
    <row r="3" spans="2:11" x14ac:dyDescent="0.2">
      <c r="B3">
        <v>1</v>
      </c>
      <c r="C3">
        <v>15207</v>
      </c>
      <c r="D3">
        <v>15311</v>
      </c>
      <c r="E3">
        <v>4475</v>
      </c>
      <c r="F3">
        <v>4371</v>
      </c>
      <c r="G3">
        <f>STDEV(E3,$E$9)</f>
        <v>380.84771234707443</v>
      </c>
      <c r="H3">
        <f>STDEV(F3,$F$9)</f>
        <v>307.30860710367347</v>
      </c>
      <c r="J3">
        <f>SUM(G3:G7)</f>
        <v>1856.579564683401</v>
      </c>
      <c r="K3">
        <f>SUM(H3:H7)</f>
        <v>1540.3614121367791</v>
      </c>
    </row>
    <row r="4" spans="2:11" x14ac:dyDescent="0.2">
      <c r="B4">
        <v>2</v>
      </c>
      <c r="C4">
        <v>15068</v>
      </c>
      <c r="D4">
        <v>15897</v>
      </c>
      <c r="E4">
        <v>4614</v>
      </c>
      <c r="F4">
        <v>3785</v>
      </c>
      <c r="G4">
        <f t="shared" ref="G4:G7" si="0">STDEV(E4,$E$9)</f>
        <v>479.13555493200454</v>
      </c>
      <c r="H4">
        <f t="shared" ref="H4:H7" si="1">STDEV(F4,$F$9)</f>
        <v>107.05596667164336</v>
      </c>
    </row>
    <row r="5" spans="2:11" x14ac:dyDescent="0.2">
      <c r="B5">
        <v>3</v>
      </c>
      <c r="C5">
        <v>16273</v>
      </c>
      <c r="D5">
        <v>15820</v>
      </c>
      <c r="E5">
        <v>3409</v>
      </c>
      <c r="F5">
        <v>3862</v>
      </c>
      <c r="G5">
        <f t="shared" si="0"/>
        <v>372.92811639778523</v>
      </c>
      <c r="H5">
        <f t="shared" si="1"/>
        <v>52.608744520279203</v>
      </c>
    </row>
    <row r="6" spans="2:11" x14ac:dyDescent="0.2">
      <c r="B6">
        <v>4</v>
      </c>
      <c r="C6">
        <v>16531</v>
      </c>
      <c r="D6">
        <v>15091</v>
      </c>
      <c r="E6">
        <v>3151</v>
      </c>
      <c r="F6">
        <v>4591</v>
      </c>
      <c r="G6">
        <f t="shared" si="0"/>
        <v>555.36166594391614</v>
      </c>
      <c r="H6">
        <f t="shared" si="1"/>
        <v>462.87209896471398</v>
      </c>
    </row>
    <row r="7" spans="2:11" x14ac:dyDescent="0.2">
      <c r="B7">
        <v>5</v>
      </c>
      <c r="C7">
        <v>15649</v>
      </c>
      <c r="D7">
        <v>16609</v>
      </c>
      <c r="E7">
        <v>4033</v>
      </c>
      <c r="F7">
        <v>3073</v>
      </c>
      <c r="G7">
        <f t="shared" si="0"/>
        <v>68.306515062620434</v>
      </c>
      <c r="H7">
        <f t="shared" si="1"/>
        <v>610.51599487646911</v>
      </c>
    </row>
    <row r="9" spans="2:11" x14ac:dyDescent="0.2">
      <c r="B9" s="2" t="s">
        <v>8</v>
      </c>
      <c r="C9" s="1"/>
      <c r="D9" s="1"/>
      <c r="E9">
        <f>AVERAGE(E3:E7)</f>
        <v>3936.4</v>
      </c>
      <c r="F9">
        <f>AVERAGE(F3:F7)</f>
        <v>3936.4</v>
      </c>
    </row>
    <row r="16" spans="2:11" x14ac:dyDescent="0.2"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5</v>
      </c>
      <c r="J16" t="s">
        <v>6</v>
      </c>
      <c r="K16" t="s">
        <v>7</v>
      </c>
    </row>
    <row r="17" spans="2:11" x14ac:dyDescent="0.2">
      <c r="B17">
        <v>1</v>
      </c>
      <c r="C17">
        <v>18453</v>
      </c>
      <c r="D17">
        <v>17195</v>
      </c>
      <c r="E17">
        <v>1229</v>
      </c>
      <c r="F17">
        <v>2487</v>
      </c>
      <c r="G17">
        <f>STDEV(E17,$E$28)</f>
        <v>522.69333265309706</v>
      </c>
      <c r="H17">
        <f>STDEV(F17,$F$28)</f>
        <v>366.84699807958179</v>
      </c>
      <c r="J17">
        <f>SUM(G17:G26)</f>
        <v>2741.0287265915422</v>
      </c>
      <c r="K17">
        <f>SUM(H17:H26)</f>
        <v>8154.6382433557492</v>
      </c>
    </row>
    <row r="18" spans="2:11" x14ac:dyDescent="0.2">
      <c r="B18">
        <v>2</v>
      </c>
      <c r="C18">
        <v>17126</v>
      </c>
      <c r="D18">
        <v>15816</v>
      </c>
      <c r="E18">
        <v>2556</v>
      </c>
      <c r="F18">
        <v>3866</v>
      </c>
      <c r="G18">
        <f>STDEV(E18,$E$28)</f>
        <v>415.63736598145476</v>
      </c>
      <c r="H18">
        <f>STDEV(F18,$F$28)</f>
        <v>1341.9472493358305</v>
      </c>
    </row>
    <row r="19" spans="2:11" x14ac:dyDescent="0.2">
      <c r="B19">
        <v>3</v>
      </c>
      <c r="C19">
        <v>17950</v>
      </c>
      <c r="D19">
        <v>18853</v>
      </c>
      <c r="E19">
        <v>1732</v>
      </c>
      <c r="F19">
        <v>829</v>
      </c>
      <c r="G19">
        <f>STDEV(E19,$E$28)</f>
        <v>167.01862171626254</v>
      </c>
      <c r="H19">
        <f>STDEV(F19,$F$28)</f>
        <v>805.5360451277154</v>
      </c>
    </row>
    <row r="20" spans="2:11" x14ac:dyDescent="0.2">
      <c r="B20">
        <v>4</v>
      </c>
      <c r="C20">
        <v>17505</v>
      </c>
      <c r="D20">
        <v>18906</v>
      </c>
      <c r="E20">
        <v>2177</v>
      </c>
      <c r="F20">
        <v>776</v>
      </c>
      <c r="G20">
        <f>STDEV(E20,$E$28)</f>
        <v>147.64389591175109</v>
      </c>
      <c r="H20">
        <f>STDEV(F20,$F$28)</f>
        <v>843.01270453060249</v>
      </c>
    </row>
    <row r="21" spans="2:11" x14ac:dyDescent="0.2">
      <c r="B21">
        <v>5</v>
      </c>
      <c r="C21">
        <v>17749</v>
      </c>
      <c r="D21">
        <v>18398</v>
      </c>
      <c r="E21">
        <v>1933</v>
      </c>
      <c r="F21">
        <v>1284</v>
      </c>
      <c r="G21">
        <f>STDEV(E21,$E$28)</f>
        <v>24.890158697766505</v>
      </c>
      <c r="H21">
        <f>STDEV(F21,$F$28)</f>
        <v>483.80245968783709</v>
      </c>
    </row>
    <row r="22" spans="2:11" x14ac:dyDescent="0.2">
      <c r="B22">
        <v>6</v>
      </c>
      <c r="C22">
        <v>17833</v>
      </c>
      <c r="D22">
        <v>15796</v>
      </c>
      <c r="E22">
        <v>1849</v>
      </c>
      <c r="F22">
        <v>3886</v>
      </c>
      <c r="G22">
        <f>STDEV(E22,$E$28)</f>
        <v>84.287128317436498</v>
      </c>
      <c r="H22">
        <f>STDEV(F22,$F$28)</f>
        <v>1356.0893849595616</v>
      </c>
    </row>
    <row r="23" spans="2:11" x14ac:dyDescent="0.2">
      <c r="B23">
        <v>7</v>
      </c>
      <c r="C23">
        <v>18129</v>
      </c>
      <c r="D23">
        <v>18158</v>
      </c>
      <c r="E23">
        <v>1553</v>
      </c>
      <c r="F23">
        <v>1524</v>
      </c>
      <c r="G23">
        <f>STDEV(E23,$E$28)</f>
        <v>293.59073554865535</v>
      </c>
      <c r="H23">
        <f>STDEV(F23,$F$28)</f>
        <v>314.09683220306636</v>
      </c>
    </row>
    <row r="24" spans="2:11" x14ac:dyDescent="0.2">
      <c r="B24">
        <v>8</v>
      </c>
      <c r="C24">
        <v>18107</v>
      </c>
      <c r="D24">
        <v>16282</v>
      </c>
      <c r="E24">
        <v>1575</v>
      </c>
      <c r="F24">
        <v>3400</v>
      </c>
      <c r="G24">
        <f>STDEV(E24,$E$28)</f>
        <v>278.03438636255237</v>
      </c>
      <c r="H24">
        <f>STDEV(F24,$F$28)</f>
        <v>1012.4354893028992</v>
      </c>
    </row>
    <row r="25" spans="2:11" x14ac:dyDescent="0.2">
      <c r="B25">
        <v>9</v>
      </c>
      <c r="C25">
        <v>17194</v>
      </c>
      <c r="D25">
        <v>18817</v>
      </c>
      <c r="E25">
        <v>2488</v>
      </c>
      <c r="F25">
        <v>865</v>
      </c>
      <c r="G25">
        <f>STDEV(E25,$E$28)</f>
        <v>367.55410486076931</v>
      </c>
      <c r="H25">
        <f>STDEV(F25,$F$28)</f>
        <v>780.08020100499959</v>
      </c>
    </row>
    <row r="26" spans="2:11" x14ac:dyDescent="0.2">
      <c r="B26">
        <v>10</v>
      </c>
      <c r="C26">
        <v>17092</v>
      </c>
      <c r="D26">
        <v>18917</v>
      </c>
      <c r="E26">
        <v>2590</v>
      </c>
      <c r="F26">
        <v>765</v>
      </c>
      <c r="G26">
        <f>STDEV(E26,$E$28)</f>
        <v>439.67899654179644</v>
      </c>
      <c r="H26">
        <f>STDEV(F26,$F$28)</f>
        <v>850.79087912365435</v>
      </c>
    </row>
    <row r="28" spans="2:11" x14ac:dyDescent="0.2">
      <c r="B28" s="2" t="s">
        <v>8</v>
      </c>
      <c r="C28" s="1"/>
      <c r="D28" s="1"/>
      <c r="E28">
        <f>AVERAGE(E17:E26)</f>
        <v>1968.2</v>
      </c>
      <c r="F28">
        <f>AVERAGE(F17:F26)</f>
        <v>1968.2</v>
      </c>
    </row>
  </sheetData>
  <mergeCells count="2">
    <mergeCell ref="C9:D9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ROSSI</dc:creator>
  <cp:lastModifiedBy>Eugenio ROSSI</cp:lastModifiedBy>
  <dcterms:created xsi:type="dcterms:W3CDTF">2026-03-02T08:55:31Z</dcterms:created>
  <dcterms:modified xsi:type="dcterms:W3CDTF">2026-03-02T09:12:16Z</dcterms:modified>
</cp:coreProperties>
</file>